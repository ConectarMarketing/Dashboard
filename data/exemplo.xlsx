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ja Exemplo" sheetId="1" state="visible" r:id="rId1"/>
    <sheet xmlns:r="http://schemas.openxmlformats.org/officeDocument/2006/relationships" name="Indústria B2B" sheetId="2" state="visible" r:id="rId2"/>
    <sheet xmlns:r="http://schemas.openxmlformats.org/officeDocument/2006/relationships" name="Clíni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F4E9E"/>
    </font>
    <font>
      <color rgb="007030A0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3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22" customWidth="1" min="4" max="4"/>
    <col width="20" customWidth="1" min="5" max="5"/>
    <col width="26" customWidth="1" min="6" max="6"/>
  </cols>
  <sheetData>
    <row r="1">
      <c r="A1" s="1" t="inlineStr">
        <is>
          <t>Loja Exemplo Ltda.</t>
        </is>
      </c>
    </row>
    <row r="2">
      <c r="A2" t="inlineStr">
        <is>
          <t>Geral</t>
        </is>
      </c>
    </row>
    <row r="3">
      <c r="A3" s="2" t="inlineStr">
        <is>
          <t>Dia atual</t>
        </is>
      </c>
      <c r="B3" s="2" t="inlineStr">
        <is>
          <t>Último dia do mês</t>
        </is>
      </c>
      <c r="C3" s="2" t="inlineStr">
        <is>
          <t>Dias restantes do mês</t>
        </is>
      </c>
      <c r="D3" s="2" t="inlineStr">
        <is>
          <t>Valor de mídia mensal</t>
        </is>
      </c>
      <c r="E3" s="2" t="inlineStr">
        <is>
          <t>Valor de mídia gasto</t>
        </is>
      </c>
      <c r="F3" s="2" t="inlineStr">
        <is>
          <t>Valor de mídia restante</t>
        </is>
      </c>
    </row>
    <row r="4">
      <c r="A4" s="3" t="n">
        <v>46301</v>
      </c>
      <c r="B4" s="4" t="n">
        <v>46326</v>
      </c>
      <c r="C4">
        <f>B4-A4</f>
        <v/>
      </c>
      <c r="D4" s="5" t="n">
        <v>3000</v>
      </c>
      <c r="E4">
        <f>D7+D14</f>
        <v/>
      </c>
      <c r="F4">
        <f>E7+E14</f>
        <v/>
      </c>
    </row>
    <row r="5">
      <c r="A5" s="6" t="inlineStr">
        <is>
          <t>Meta</t>
        </is>
      </c>
    </row>
    <row r="6">
      <c r="A6" s="2" t="inlineStr">
        <is>
          <t>% de mídia mensal</t>
        </is>
      </c>
      <c r="B6" s="2" t="inlineStr">
        <is>
          <t>Valor de mídia mensal</t>
        </is>
      </c>
      <c r="C6" s="2" t="inlineStr">
        <is>
          <t>Valor de mídia diário</t>
        </is>
      </c>
      <c r="D6" s="2" t="inlineStr">
        <is>
          <t>Valor de mídia gasto mensal</t>
        </is>
      </c>
      <c r="E6" s="2" t="inlineStr">
        <is>
          <t>Valor de mídia restante</t>
        </is>
      </c>
      <c r="F6" s="2" t="inlineStr">
        <is>
          <t>Quanto gastar por dia restante</t>
        </is>
      </c>
    </row>
    <row r="7">
      <c r="A7" s="5" t="n">
        <v>0.6</v>
      </c>
      <c r="B7">
        <f>D4*A7</f>
        <v/>
      </c>
      <c r="C7">
        <f>B7/30.4</f>
        <v/>
      </c>
      <c r="D7">
        <f>SUM(C9:C10)</f>
        <v/>
      </c>
      <c r="E7">
        <f>B7-D7</f>
        <v/>
      </c>
      <c r="F7">
        <f>IFERROR(E7/C4,0)</f>
        <v/>
      </c>
    </row>
    <row r="8">
      <c r="A8" s="2" t="inlineStr">
        <is>
          <t>Métrica</t>
        </is>
      </c>
      <c r="B8" s="2" t="inlineStr">
        <is>
          <t>Valor de mídia</t>
        </is>
      </c>
      <c r="C8" s="2" t="inlineStr">
        <is>
          <t>Valor de mídia gasto</t>
        </is>
      </c>
      <c r="D8" s="2" t="inlineStr">
        <is>
          <t>Meta</t>
        </is>
      </c>
      <c r="E8" s="2" t="inlineStr">
        <is>
          <t>Resultado</t>
        </is>
      </c>
      <c r="F8" s="2" t="inlineStr">
        <is>
          <t>Meta conquistada %</t>
        </is>
      </c>
    </row>
    <row r="9">
      <c r="A9" t="inlineStr">
        <is>
          <t>Seguidores</t>
        </is>
      </c>
      <c r="B9" s="5" t="n">
        <v>600</v>
      </c>
      <c r="C9" s="7" t="n">
        <v>140.5</v>
      </c>
      <c r="D9" s="5" t="n">
        <v>400</v>
      </c>
      <c r="E9" s="7" t="n">
        <v>120</v>
      </c>
      <c r="F9" s="8">
        <f>IFERROR(E9/D9,0)</f>
        <v/>
      </c>
    </row>
    <row r="10">
      <c r="A10" t="inlineStr">
        <is>
          <t>Mensagens</t>
        </is>
      </c>
      <c r="B10" s="5" t="n">
        <v>1200</v>
      </c>
      <c r="C10" s="7" t="n">
        <v>260.1</v>
      </c>
      <c r="D10" s="5" t="n">
        <v>90</v>
      </c>
      <c r="E10" s="7" t="n">
        <v>14</v>
      </c>
      <c r="F10" s="8">
        <f>IFERROR(E10/D10,0)</f>
        <v/>
      </c>
    </row>
    <row r="12">
      <c r="A12" s="6" t="inlineStr">
        <is>
          <t>Google</t>
        </is>
      </c>
    </row>
    <row r="13">
      <c r="A13" s="2" t="inlineStr">
        <is>
          <t>% de mídia mensal</t>
        </is>
      </c>
      <c r="B13" s="2" t="inlineStr">
        <is>
          <t>Valor de mídia mensal</t>
        </is>
      </c>
      <c r="C13" s="2" t="inlineStr">
        <is>
          <t>Valor de mídia diário</t>
        </is>
      </c>
      <c r="D13" s="2" t="inlineStr">
        <is>
          <t>Valor de mídia gasto mensal</t>
        </is>
      </c>
      <c r="E13" s="2" t="inlineStr">
        <is>
          <t>Valor de mídia restante</t>
        </is>
      </c>
      <c r="F13" s="2" t="inlineStr">
        <is>
          <t>Quanto gastar por dia restante</t>
        </is>
      </c>
    </row>
    <row r="14">
      <c r="A14" s="5" t="n">
        <v>0.4</v>
      </c>
      <c r="B14">
        <f>D4*A14</f>
        <v/>
      </c>
      <c r="C14">
        <f>B14/30.4</f>
        <v/>
      </c>
      <c r="D14">
        <f>SUM(C16:C16)</f>
        <v/>
      </c>
      <c r="E14">
        <f>B14-D14</f>
        <v/>
      </c>
      <c r="F14">
        <f>IFERROR(E14/C4,0)</f>
        <v/>
      </c>
    </row>
    <row r="15">
      <c r="A15" s="2" t="inlineStr">
        <is>
          <t>Métrica</t>
        </is>
      </c>
      <c r="B15" s="2" t="inlineStr">
        <is>
          <t>Valor de mídia</t>
        </is>
      </c>
      <c r="C15" s="2" t="inlineStr">
        <is>
          <t>Valor de mídia gasto</t>
        </is>
      </c>
      <c r="D15" s="2" t="inlineStr">
        <is>
          <t>Meta</t>
        </is>
      </c>
      <c r="E15" s="2" t="inlineStr">
        <is>
          <t>Resultado</t>
        </is>
      </c>
      <c r="F15" s="2" t="inlineStr">
        <is>
          <t>Meta conquistada %</t>
        </is>
      </c>
    </row>
    <row r="16">
      <c r="A16" t="inlineStr">
        <is>
          <t>Search (cliques)</t>
        </is>
      </c>
      <c r="B16" s="5" t="n">
        <v>1200</v>
      </c>
      <c r="C16" s="7" t="n">
        <v>230.9</v>
      </c>
      <c r="D16" s="5" t="n">
        <v>1500</v>
      </c>
      <c r="E16" s="7" t="n">
        <v>410</v>
      </c>
      <c r="F16" s="8">
        <f>IFERROR(E16/D16,0)</f>
        <v/>
      </c>
    </row>
    <row r="18">
      <c r="B18" t="inlineStr">
        <is>
          <t>Campanha de Black Friday começa dia 15</t>
        </is>
      </c>
    </row>
    <row r="20">
      <c r="A20" t="inlineStr">
        <is>
          <t>Legenda:</t>
        </is>
      </c>
    </row>
    <row r="21">
      <c r="A21" t="inlineStr">
        <is>
          <t>Azul: atualizar diariamente</t>
        </is>
      </c>
    </row>
    <row r="22">
      <c r="A22" t="inlineStr">
        <is>
          <t>Roxo: atualizar mensalmente</t>
        </is>
      </c>
    </row>
    <row r="23">
      <c r="A23" t="inlineStr">
        <is>
          <t>Preto: cálculo automático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22" customWidth="1" min="4" max="4"/>
    <col width="20" customWidth="1" min="5" max="5"/>
    <col width="26" customWidth="1" min="6" max="6"/>
  </cols>
  <sheetData>
    <row r="1">
      <c r="A1" s="1" t="inlineStr">
        <is>
          <t>Indústria Exemplo S.A.</t>
        </is>
      </c>
    </row>
    <row r="2">
      <c r="A2" t="inlineStr">
        <is>
          <t>Geral</t>
        </is>
      </c>
    </row>
    <row r="3">
      <c r="A3" s="2" t="inlineStr">
        <is>
          <t>Dia atual</t>
        </is>
      </c>
      <c r="B3" s="2" t="inlineStr">
        <is>
          <t>Último dia do mês</t>
        </is>
      </c>
      <c r="C3" s="2" t="inlineStr">
        <is>
          <t>Dias restantes do mês</t>
        </is>
      </c>
      <c r="D3" s="2" t="inlineStr">
        <is>
          <t>Valor de mídia mensal</t>
        </is>
      </c>
      <c r="E3" s="2" t="inlineStr">
        <is>
          <t>Valor de mídia gasto</t>
        </is>
      </c>
      <c r="F3" s="2" t="inlineStr">
        <is>
          <t>Valor de mídia restante</t>
        </is>
      </c>
    </row>
    <row r="4">
      <c r="A4" s="3" t="n">
        <v>46301</v>
      </c>
      <c r="B4" s="4" t="n">
        <v>46326</v>
      </c>
      <c r="C4">
        <f>B4-A4</f>
        <v/>
      </c>
      <c r="D4" s="5" t="n">
        <v>8000</v>
      </c>
      <c r="E4">
        <f>D7+D14</f>
        <v/>
      </c>
      <c r="F4">
        <f>E7+E14</f>
        <v/>
      </c>
    </row>
    <row r="5">
      <c r="A5" s="6" t="inlineStr">
        <is>
          <t>LinkedIn</t>
        </is>
      </c>
    </row>
    <row r="6">
      <c r="A6" s="2" t="inlineStr">
        <is>
          <t>% de mídia mensal</t>
        </is>
      </c>
      <c r="B6" s="2" t="inlineStr">
        <is>
          <t>Valor de mídia mensal</t>
        </is>
      </c>
      <c r="C6" s="2" t="inlineStr">
        <is>
          <t>Valor de mídia diário</t>
        </is>
      </c>
      <c r="D6" s="2" t="inlineStr">
        <is>
          <t>Valor de mídia gasto mensal</t>
        </is>
      </c>
      <c r="E6" s="2" t="inlineStr">
        <is>
          <t>Valor de mídia restante</t>
        </is>
      </c>
      <c r="F6" s="2" t="inlineStr">
        <is>
          <t>Quanto gastar por dia restante</t>
        </is>
      </c>
    </row>
    <row r="7">
      <c r="A7" s="5" t="n">
        <v>0.5</v>
      </c>
      <c r="B7">
        <f>D4*A7</f>
        <v/>
      </c>
      <c r="C7">
        <f>B7/30.4</f>
        <v/>
      </c>
      <c r="D7">
        <f>SUM(C9:C10)</f>
        <v/>
      </c>
      <c r="E7">
        <f>B7-D7</f>
        <v/>
      </c>
      <c r="F7">
        <f>IFERROR(E7/C4,0)</f>
        <v/>
      </c>
    </row>
    <row r="8">
      <c r="A8" s="2" t="inlineStr">
        <is>
          <t>Métrica</t>
        </is>
      </c>
      <c r="B8" s="2" t="inlineStr">
        <is>
          <t>Valor de mídia</t>
        </is>
      </c>
      <c r="C8" s="2" t="inlineStr">
        <is>
          <t>Valor de mídia gasto</t>
        </is>
      </c>
      <c r="D8" s="2" t="inlineStr">
        <is>
          <t>Meta</t>
        </is>
      </c>
      <c r="E8" s="2" t="inlineStr">
        <is>
          <t>Resultado</t>
        </is>
      </c>
      <c r="F8" s="2" t="inlineStr">
        <is>
          <t>Meta conquistada %</t>
        </is>
      </c>
    </row>
    <row r="9">
      <c r="A9" t="inlineStr">
        <is>
          <t>Lead Gen - Decisores</t>
        </is>
      </c>
      <c r="B9" s="5" t="n">
        <v>3000</v>
      </c>
      <c r="C9" s="7" t="n">
        <v>690</v>
      </c>
      <c r="D9" s="5" t="n">
        <v>40</v>
      </c>
      <c r="E9" s="7" t="n">
        <v>9</v>
      </c>
      <c r="F9" s="8">
        <f>IFERROR(E9/D9,0)</f>
        <v/>
      </c>
    </row>
    <row r="10">
      <c r="A10" t="inlineStr">
        <is>
          <t>Conteúdo - Awareness</t>
        </is>
      </c>
      <c r="B10" s="5" t="n">
        <v>1000</v>
      </c>
      <c r="C10" s="7" t="n">
        <v>205.3</v>
      </c>
      <c r="D10" s="5" t="n">
        <v>50000</v>
      </c>
      <c r="E10" s="7" t="n">
        <v>14200</v>
      </c>
      <c r="F10" s="8">
        <f>IFERROR(E10/D10,0)</f>
        <v/>
      </c>
    </row>
    <row r="12">
      <c r="A12" s="6" t="inlineStr">
        <is>
          <t>Google</t>
        </is>
      </c>
    </row>
    <row r="13">
      <c r="A13" s="2" t="inlineStr">
        <is>
          <t>% de mídia mensal</t>
        </is>
      </c>
      <c r="B13" s="2" t="inlineStr">
        <is>
          <t>Valor de mídia mensal</t>
        </is>
      </c>
      <c r="C13" s="2" t="inlineStr">
        <is>
          <t>Valor de mídia diário</t>
        </is>
      </c>
      <c r="D13" s="2" t="inlineStr">
        <is>
          <t>Valor de mídia gasto mensal</t>
        </is>
      </c>
      <c r="E13" s="2" t="inlineStr">
        <is>
          <t>Valor de mídia restante</t>
        </is>
      </c>
      <c r="F13" s="2" t="inlineStr">
        <is>
          <t>Quanto gastar por dia restante</t>
        </is>
      </c>
    </row>
    <row r="14">
      <c r="A14" s="5" t="n">
        <v>0.5</v>
      </c>
      <c r="B14">
        <f>D4*A14</f>
        <v/>
      </c>
      <c r="C14">
        <f>B14/30.4</f>
        <v/>
      </c>
      <c r="D14">
        <f>SUM(C16:C16)</f>
        <v/>
      </c>
      <c r="E14">
        <f>B14-D14</f>
        <v/>
      </c>
      <c r="F14">
        <f>IFERROR(E14/C4,0)</f>
        <v/>
      </c>
    </row>
    <row r="15">
      <c r="A15" s="2" t="inlineStr">
        <is>
          <t>Métrica</t>
        </is>
      </c>
      <c r="B15" s="2" t="inlineStr">
        <is>
          <t>Valor de mídia</t>
        </is>
      </c>
      <c r="C15" s="2" t="inlineStr">
        <is>
          <t>Valor de mídia gasto</t>
        </is>
      </c>
      <c r="D15" s="2" t="inlineStr">
        <is>
          <t>Meta</t>
        </is>
      </c>
      <c r="E15" s="2" t="inlineStr">
        <is>
          <t>Resultado</t>
        </is>
      </c>
      <c r="F15" s="2" t="inlineStr">
        <is>
          <t>Meta conquistada %</t>
        </is>
      </c>
    </row>
    <row r="16">
      <c r="A16" t="inlineStr">
        <is>
          <t>Search (leads)</t>
        </is>
      </c>
      <c r="B16" s="5" t="n">
        <v>4000</v>
      </c>
      <c r="C16" s="7" t="n">
        <v>980.4</v>
      </c>
      <c r="D16" s="5" t="n">
        <v>60</v>
      </c>
      <c r="E16" s="7" t="n">
        <v>11</v>
      </c>
      <c r="F16" s="8">
        <f>IFERROR(E16/D16,0)</f>
        <v/>
      </c>
    </row>
    <row r="19">
      <c r="A19" t="inlineStr">
        <is>
          <t>Legenda:</t>
        </is>
      </c>
    </row>
    <row r="20">
      <c r="A20" t="inlineStr">
        <is>
          <t>Azul: atualizar diariamente</t>
        </is>
      </c>
    </row>
    <row r="21">
      <c r="A21" t="inlineStr">
        <is>
          <t>Roxo: atualizar mensalmente</t>
        </is>
      </c>
    </row>
    <row r="22">
      <c r="A22" t="inlineStr">
        <is>
          <t>Preto: cálculo automático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22" customWidth="1" min="4" max="4"/>
    <col width="20" customWidth="1" min="5" max="5"/>
    <col width="26" customWidth="1" min="6" max="6"/>
  </cols>
  <sheetData>
    <row r="1">
      <c r="A1" s="1" t="inlineStr">
        <is>
          <t>Clínica Exemplo</t>
        </is>
      </c>
    </row>
    <row r="2">
      <c r="A2" t="inlineStr">
        <is>
          <t>Geral</t>
        </is>
      </c>
    </row>
    <row r="3">
      <c r="A3" s="2" t="inlineStr">
        <is>
          <t>Dia atual</t>
        </is>
      </c>
      <c r="B3" s="2" t="inlineStr">
        <is>
          <t>Último dia do mês</t>
        </is>
      </c>
      <c r="C3" s="2" t="inlineStr">
        <is>
          <t>Dias restantes do mês</t>
        </is>
      </c>
      <c r="D3" s="2" t="inlineStr">
        <is>
          <t>Valor de mídia mensal</t>
        </is>
      </c>
      <c r="E3" s="2" t="inlineStr">
        <is>
          <t>Valor de mídia gasto</t>
        </is>
      </c>
      <c r="F3" s="2" t="inlineStr">
        <is>
          <t>Valor de mídia restante</t>
        </is>
      </c>
    </row>
    <row r="4">
      <c r="A4" s="3" t="n">
        <v>46301</v>
      </c>
      <c r="B4" s="4" t="n">
        <v>46326</v>
      </c>
      <c r="C4">
        <f>B4-A4</f>
        <v/>
      </c>
      <c r="D4" s="5" t="n">
        <v>1200</v>
      </c>
      <c r="E4">
        <f>D7</f>
        <v/>
      </c>
      <c r="F4">
        <f>E7</f>
        <v/>
      </c>
    </row>
    <row r="5">
      <c r="A5" s="6" t="inlineStr">
        <is>
          <t>Meta</t>
        </is>
      </c>
    </row>
    <row r="6">
      <c r="A6" s="2" t="inlineStr">
        <is>
          <t>% de mídia mensal</t>
        </is>
      </c>
      <c r="B6" s="2" t="inlineStr">
        <is>
          <t>Valor de mídia mensal</t>
        </is>
      </c>
      <c r="C6" s="2" t="inlineStr">
        <is>
          <t>Valor de mídia diário</t>
        </is>
      </c>
      <c r="D6" s="2" t="inlineStr">
        <is>
          <t>Valor de mídia gasto mensal</t>
        </is>
      </c>
      <c r="E6" s="2" t="inlineStr">
        <is>
          <t>Valor de mídia restante</t>
        </is>
      </c>
      <c r="F6" s="2" t="inlineStr">
        <is>
          <t>Quanto gastar por dia restante</t>
        </is>
      </c>
    </row>
    <row r="7">
      <c r="A7" s="5" t="n">
        <v>1</v>
      </c>
      <c r="B7">
        <f>D4*A7</f>
        <v/>
      </c>
      <c r="C7">
        <f>B7/30.4</f>
        <v/>
      </c>
      <c r="D7">
        <f>SUM(C9:C10)</f>
        <v/>
      </c>
      <c r="E7">
        <f>B7-D7</f>
        <v/>
      </c>
      <c r="F7">
        <f>IFERROR(E7/C4,0)</f>
        <v/>
      </c>
    </row>
    <row r="8">
      <c r="A8" s="2" t="inlineStr">
        <is>
          <t>Métrica</t>
        </is>
      </c>
      <c r="B8" s="2" t="inlineStr">
        <is>
          <t>Valor de mídia</t>
        </is>
      </c>
      <c r="C8" s="2" t="inlineStr">
        <is>
          <t>Valor de mídia gasto</t>
        </is>
      </c>
      <c r="D8" s="2" t="inlineStr">
        <is>
          <t>Meta</t>
        </is>
      </c>
      <c r="E8" s="2" t="inlineStr">
        <is>
          <t>Resultado</t>
        </is>
      </c>
      <c r="F8" s="2" t="inlineStr">
        <is>
          <t>Meta conquistada %</t>
        </is>
      </c>
    </row>
    <row r="9">
      <c r="A9" t="inlineStr">
        <is>
          <t>Agendamentos (mensagens)</t>
        </is>
      </c>
      <c r="B9" s="5" t="n">
        <v>900</v>
      </c>
      <c r="C9" s="7" t="n">
        <v>118.2</v>
      </c>
      <c r="D9" s="5" t="n">
        <v>60</v>
      </c>
      <c r="E9" s="7" t="n">
        <v>16</v>
      </c>
      <c r="F9" s="8">
        <f>IFERROR(E9/D9,0)</f>
        <v/>
      </c>
    </row>
    <row r="10">
      <c r="A10" t="inlineStr">
        <is>
          <t>Alcance (regional)</t>
        </is>
      </c>
      <c r="B10" s="5" t="n">
        <v>300</v>
      </c>
      <c r="C10" s="7" t="n">
        <v>31</v>
      </c>
      <c r="D10" s="5" t="n">
        <v>40000</v>
      </c>
      <c r="E10" s="7" t="n">
        <v>6100</v>
      </c>
      <c r="F10" s="8">
        <f>IFERROR(E10/D10,0)</f>
        <v/>
      </c>
    </row>
    <row r="13">
      <c r="A13" t="inlineStr">
        <is>
          <t>Legenda:</t>
        </is>
      </c>
    </row>
    <row r="14">
      <c r="A14" t="inlineStr">
        <is>
          <t>Azul: atualizar diariamente</t>
        </is>
      </c>
    </row>
    <row r="15">
      <c r="A15" t="inlineStr">
        <is>
          <t>Roxo: atualizar mensalmente</t>
        </is>
      </c>
    </row>
    <row r="16">
      <c r="A16" t="inlineStr">
        <is>
          <t>Preto: cálculo automático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2026-10-06T20:49:58Z</dcterms:created>
  <dcterms:modified xmlns:dcterms="http://purl.org/dc/terms/" xmlns:xsi="http://www.w3.org/2001/XMLSchema-instance" xsi:type="dcterms:W3CDTF">2026-10-06T20:49:58Z</dcterms:modified>
</cp:coreProperties>
</file>